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ورقة1" sheetId="1" r:id="rId5"/>
  </sheets>
  <definedNames/>
  <calcPr/>
</workbook>
</file>

<file path=xl/sharedStrings.xml><?xml version="1.0" encoding="utf-8"?>
<sst xmlns="http://schemas.openxmlformats.org/spreadsheetml/2006/main" count="135" uniqueCount="88">
  <si>
    <t>م</t>
  </si>
  <si>
    <t>اسم القطعة</t>
  </si>
  <si>
    <t>الهدف / الوظيفة</t>
  </si>
  <si>
    <t>الأهمية</t>
  </si>
  <si>
    <t>اسم المتجر</t>
  </si>
  <si>
    <t>الكمية</t>
  </si>
  <si>
    <t>سعر الوحدة (ج.م)</t>
  </si>
  <si>
    <t>الإجمالي (ج.م)</t>
  </si>
  <si>
    <t>رابط / مسار البحث في المتجر</t>
  </si>
  <si>
    <t>ADXL345 Module</t>
  </si>
  <si>
    <t>اهتزاز</t>
  </si>
  <si>
    <t>ضروري</t>
  </si>
  <si>
    <t>Makers Electronics</t>
  </si>
  <si>
    <t>makerselectronics.com -&gt; Search: ADXL345 Digital Accelerometer Module</t>
  </si>
  <si>
    <t>PT100 Probe (3-wire M6)</t>
  </si>
  <si>
    <t>حرارة</t>
  </si>
  <si>
    <t>RAM Electronics</t>
  </si>
  <si>
    <t>ram-e-shop.com -&gt; Search: PT100 M6 Screw RTD Temperature Sensor</t>
  </si>
  <si>
    <t>MAX31865 Module</t>
  </si>
  <si>
    <t>محول-حرارة</t>
  </si>
  <si>
    <t>ram-e-shop.com -&gt; Search: MAX31865 RTD PT100 Amplifier Module</t>
  </si>
  <si>
    <t>INMP441 Mic Module</t>
  </si>
  <si>
    <t>صوت</t>
  </si>
  <si>
    <t>Future Electronics</t>
  </si>
  <si>
    <t>fut-electronics.com -&gt; Search: INMP441 MEMS Microphone Module I2S</t>
  </si>
  <si>
    <t>Sensor Magnetic Base</t>
  </si>
  <si>
    <t>تثبيت</t>
  </si>
  <si>
    <t>fut-electronics.com -&gt; Search: Neodymium Round Magnet 15mm with screw</t>
  </si>
  <si>
    <t>Shielded Jumper Wires (M-F)</t>
  </si>
  <si>
    <t>توصيلات-شيلدد</t>
  </si>
  <si>
    <t>fut-electronics.com -&gt; Search: Male to Female Shielded Jumper Wires</t>
  </si>
  <si>
    <t>Jumper Wires (Male to Male)</t>
  </si>
  <si>
    <t>توصيل-بريد-بورد</t>
  </si>
  <si>
    <t>fut-electronics.com -&gt; Search: Male to Male Jumper Wires 65pcs</t>
  </si>
  <si>
    <t>Male Pin Headers 2.54mm (40 Pin)</t>
  </si>
  <si>
    <t>دبابيس-لحام-للحساسات</t>
  </si>
  <si>
    <t>fut-electronics.com -&gt; Search: 40 Pin 2.54mm Male Header Strip</t>
  </si>
  <si>
    <t>M3 Screws &amp; Nuts Pack (15mm)</t>
  </si>
  <si>
    <t>تثبيت-الحساس-بالمغناطيس</t>
  </si>
  <si>
    <t>محلات مسامير / Future</t>
  </si>
  <si>
    <t>محلات حدايد ومسامير أو قطاعي</t>
  </si>
  <si>
    <t>Nylon Spacers / Washers M3</t>
  </si>
  <si>
    <t>عزل-كهربي-للحساس</t>
  </si>
  <si>
    <t>fut-electronics.com -&gt; Search: M3 Nylon Standoff Spacer</t>
  </si>
  <si>
    <t>Raspberry Pi Power Supply (5V/3A)</t>
  </si>
  <si>
    <t>شاحن</t>
  </si>
  <si>
    <t>makerselectronics.com -&gt; Search: Raspberry Pi 4 Power Supply Type-C 5V 3A</t>
  </si>
  <si>
    <t>Raspberry Pi 4 8GB RAM</t>
  </si>
  <si>
    <t>كنترولر</t>
  </si>
  <si>
    <t>makerselectronics.com -&gt; Search: Raspberry Pi 4 Model B 8GB RAM</t>
  </si>
  <si>
    <t>MicroSD Card 32GB Class 10</t>
  </si>
  <si>
    <t>ذاكرة</t>
  </si>
  <si>
    <t>fut-electronics.com -&gt; Search: MicroSD Card 32GB Class 10</t>
  </si>
  <si>
    <t>Breadboard 840 Pin</t>
  </si>
  <si>
    <t>تجارب</t>
  </si>
  <si>
    <t>fut-electronics.com -&gt; Search: Solderless Breadboard 400/830 Tie Points</t>
  </si>
  <si>
    <t>Ceramic Capacitors 100nF</t>
  </si>
  <si>
    <t>تنقية-شوشرة</t>
  </si>
  <si>
    <t>fut-electronics.com -&gt; Search: Ceramic Capacitor 100nF 0.1uF 50V</t>
  </si>
  <si>
    <t>Resistors 10k Ohm</t>
  </si>
  <si>
    <t>استقرار-SPI</t>
  </si>
  <si>
    <t>fut-electronics.com -&gt; Search: Metal Film Resistor 10k Ohm 1/4W</t>
  </si>
  <si>
    <t>Electrolytic Capacitor 10uF</t>
  </si>
  <si>
    <t>تثبيت-جهد</t>
  </si>
  <si>
    <t>تحسينات</t>
  </si>
  <si>
    <t>fut-electronics.com -&gt; Search: Electrolytic Capacitor 10uF 16V/50V</t>
  </si>
  <si>
    <t>Case &amp; Fan</t>
  </si>
  <si>
    <t>تبريد</t>
  </si>
  <si>
    <t>makerselectronics.com -&gt; Search: Raspberry Pi 4 Case with Cooling Fan</t>
  </si>
  <si>
    <t>Thermal Paste</t>
  </si>
  <si>
    <t>معجون-حراري</t>
  </si>
  <si>
    <t>fut-electronics.com -&gt; Search: Heat Sink Thermal Paste Compound</t>
  </si>
  <si>
    <t>IP65 Enclosure Box</t>
  </si>
  <si>
    <t>حماية-ميدانية</t>
  </si>
  <si>
    <t>fut-electronics.com -&gt; Search: Waterproof Plastic Enclosure Box IP65</t>
  </si>
  <si>
    <t>Cable Glands PG7 (حبتين)</t>
  </si>
  <si>
    <t>تثبيت-وعزل-الكابلات</t>
  </si>
  <si>
    <t>fut-electronics.com -&gt; Search: Cable Gland PG7 Waterproof</t>
  </si>
  <si>
    <t>Heat Shrink Tube (1 meter)</t>
  </si>
  <si>
    <t>عزل-وتأمين-الأسلاك</t>
  </si>
  <si>
    <t>fut-electronics.com -&gt; Search: Heat Shrinkable Tube 3mm</t>
  </si>
  <si>
    <t>مصاريف شحن متجر Makers</t>
  </si>
  <si>
    <t>لوجستيات-شحن</t>
  </si>
  <si>
    <t>لوجستيات</t>
  </si>
  <si>
    <t>شحن محلي</t>
  </si>
  <si>
    <t>مصاريف شحن متجر RAM</t>
  </si>
  <si>
    <t>مصاريف شحن متجر Future</t>
  </si>
  <si>
    <t>التكلفة الإجمالية الكاملة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</si>
</sst>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1.0"/>
      <color rgb="FFFFFFFF"/>
      <name val="Montserrat"/>
    </font>
    <font>
      <sz val="10.0"/>
      <color rgb="FF171C1F"/>
      <name val="Roboto"/>
    </font>
    <font>
      <color theme="1"/>
      <name val="Arial"/>
      <scheme val="minor"/>
    </font>
    <font>
      <b/>
      <sz val="14.0"/>
      <color rgb="FF394756"/>
      <name val="Roboto"/>
    </font>
    <font/>
    <font>
      <sz val="14.0"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2F618B"/>
        <bgColor rgb="FF2F618B"/>
      </patternFill>
    </fill>
    <fill>
      <patternFill patternType="solid">
        <fgColor rgb="FFD4E3F7"/>
        <bgColor rgb="FFD4E3F7"/>
      </patternFill>
    </fill>
  </fills>
  <borders count="5">
    <border/>
    <border>
      <left style="thin">
        <color rgb="FF71777E"/>
      </left>
      <right style="thin">
        <color rgb="FF71777E"/>
      </right>
      <top style="thin">
        <color rgb="FF71777E"/>
      </top>
      <bottom style="thin">
        <color rgb="FF71777E"/>
      </bottom>
    </border>
    <border>
      <left style="thin">
        <color rgb="FF71777E"/>
      </left>
      <top style="thin">
        <color rgb="FF71777E"/>
      </top>
      <bottom style="thin">
        <color rgb="FF71777E"/>
      </bottom>
    </border>
    <border>
      <top style="thin">
        <color rgb="FF71777E"/>
      </top>
      <bottom style="thin">
        <color rgb="FF71777E"/>
      </bottom>
    </border>
    <border>
      <right style="thin">
        <color rgb="FF71777E"/>
      </right>
      <top style="thin">
        <color rgb="FF71777E"/>
      </top>
      <bottom style="thin">
        <color rgb="FF71777E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2" numFmtId="3" xfId="0" applyAlignment="1" applyBorder="1" applyFont="1" applyNumberFormat="1">
      <alignment horizontal="right" readingOrder="0" shrinkToFit="0" vertical="center" wrapText="1"/>
    </xf>
    <xf borderId="1" fillId="0" fontId="2" numFmtId="3" xfId="0" applyAlignment="1" applyBorder="1" applyFont="1" applyNumberFormat="1">
      <alignment horizontal="right" shrinkToFit="0" vertical="center" wrapText="1"/>
    </xf>
    <xf borderId="0" fillId="0" fontId="3" numFmtId="0" xfId="0" applyAlignment="1" applyFont="1">
      <alignment shrinkToFit="0" wrapText="1"/>
    </xf>
    <xf borderId="2" fillId="3" fontId="4" numFmtId="0" xfId="0" applyAlignment="1" applyBorder="1" applyFill="1" applyFont="1">
      <alignment horizontal="center" readingOrder="0" vertical="center"/>
    </xf>
    <xf borderId="3" fillId="0" fontId="5" numFmtId="0" xfId="0" applyBorder="1" applyFont="1"/>
    <xf borderId="4" fillId="0" fontId="5" numFmtId="0" xfId="0" applyBorder="1" applyFont="1"/>
    <xf borderId="2" fillId="3" fontId="4" numFmtId="3" xfId="0" applyAlignment="1" applyBorder="1" applyFill="1" applyFont="1" applyNumberFormat="1">
      <alignment horizontal="center" vertical="center"/>
    </xf>
    <xf borderId="0" fillId="0" fontId="6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7F8FF"/>
          <bgColor rgb="FFF7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2" pivot="0" name="الورقة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I26" displayName="Table_1" name="Table_1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الورقة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25.13"/>
    <col customWidth="1" min="3" max="3" width="18.88"/>
    <col customWidth="1" min="4" max="4" width="12.63"/>
    <col customWidth="1" min="5" max="5" width="18.88"/>
    <col customWidth="1" min="6" max="6" width="7.63"/>
    <col customWidth="1" min="7" max="8" width="12.63"/>
    <col customWidth="1" min="9" max="9" width="62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>
        <v>1.0</v>
      </c>
      <c r="B2" s="3" t="s">
        <v>9</v>
      </c>
      <c r="C2" s="4" t="s">
        <v>10</v>
      </c>
      <c r="D2" s="4" t="s">
        <v>11</v>
      </c>
      <c r="E2" s="3" t="s">
        <v>12</v>
      </c>
      <c r="F2" s="2">
        <v>1.0</v>
      </c>
      <c r="G2" s="5">
        <v>170.0</v>
      </c>
      <c r="H2" s="5">
        <f t="shared" ref="H2:H26" si="1">F2*G2</f>
        <v>170</v>
      </c>
      <c r="I2" s="3" t="s">
        <v>13</v>
      </c>
    </row>
    <row r="3">
      <c r="A3" s="2">
        <v>2.0</v>
      </c>
      <c r="B3" s="3" t="s">
        <v>14</v>
      </c>
      <c r="C3" s="4" t="s">
        <v>15</v>
      </c>
      <c r="D3" s="4" t="s">
        <v>11</v>
      </c>
      <c r="E3" s="3" t="s">
        <v>16</v>
      </c>
      <c r="F3" s="2">
        <v>1.0</v>
      </c>
      <c r="G3" s="5">
        <v>220.0</v>
      </c>
      <c r="H3" s="5">
        <f t="shared" si="1"/>
        <v>220</v>
      </c>
      <c r="I3" s="3" t="s">
        <v>17</v>
      </c>
    </row>
    <row r="4">
      <c r="A4" s="2">
        <v>3.0</v>
      </c>
      <c r="B4" s="3" t="s">
        <v>18</v>
      </c>
      <c r="C4" s="4" t="s">
        <v>19</v>
      </c>
      <c r="D4" s="4" t="s">
        <v>11</v>
      </c>
      <c r="E4" s="3" t="s">
        <v>16</v>
      </c>
      <c r="F4" s="2">
        <v>1.0</v>
      </c>
      <c r="G4" s="5">
        <v>380.0</v>
      </c>
      <c r="H4" s="5">
        <f t="shared" si="1"/>
        <v>380</v>
      </c>
      <c r="I4" s="3" t="s">
        <v>20</v>
      </c>
    </row>
    <row r="5">
      <c r="A5" s="2">
        <v>4.0</v>
      </c>
      <c r="B5" s="3" t="s">
        <v>21</v>
      </c>
      <c r="C5" s="4" t="s">
        <v>22</v>
      </c>
      <c r="D5" s="4" t="s">
        <v>11</v>
      </c>
      <c r="E5" s="3" t="s">
        <v>23</v>
      </c>
      <c r="F5" s="2">
        <v>1.0</v>
      </c>
      <c r="G5" s="5">
        <v>180.0</v>
      </c>
      <c r="H5" s="5">
        <f t="shared" si="1"/>
        <v>180</v>
      </c>
      <c r="I5" s="3" t="s">
        <v>24</v>
      </c>
    </row>
    <row r="6">
      <c r="A6" s="2">
        <v>5.0</v>
      </c>
      <c r="B6" s="3" t="s">
        <v>25</v>
      </c>
      <c r="C6" s="4" t="s">
        <v>26</v>
      </c>
      <c r="D6" s="4" t="s">
        <v>11</v>
      </c>
      <c r="E6" s="3" t="s">
        <v>23</v>
      </c>
      <c r="F6" s="2">
        <v>1.0</v>
      </c>
      <c r="G6" s="5">
        <v>120.0</v>
      </c>
      <c r="H6" s="5">
        <f t="shared" si="1"/>
        <v>120</v>
      </c>
      <c r="I6" s="3" t="s">
        <v>27</v>
      </c>
    </row>
    <row r="7">
      <c r="A7" s="2">
        <v>6.0</v>
      </c>
      <c r="B7" s="3" t="s">
        <v>28</v>
      </c>
      <c r="C7" s="4" t="s">
        <v>29</v>
      </c>
      <c r="D7" s="4" t="s">
        <v>11</v>
      </c>
      <c r="E7" s="3" t="s">
        <v>23</v>
      </c>
      <c r="F7" s="2">
        <v>1.0</v>
      </c>
      <c r="G7" s="5">
        <v>45.0</v>
      </c>
      <c r="H7" s="5">
        <f t="shared" si="1"/>
        <v>45</v>
      </c>
      <c r="I7" s="3" t="s">
        <v>30</v>
      </c>
    </row>
    <row r="8">
      <c r="A8" s="2">
        <v>7.0</v>
      </c>
      <c r="B8" s="3" t="s">
        <v>31</v>
      </c>
      <c r="C8" s="4" t="s">
        <v>32</v>
      </c>
      <c r="D8" s="4" t="s">
        <v>11</v>
      </c>
      <c r="E8" s="3" t="s">
        <v>23</v>
      </c>
      <c r="F8" s="2">
        <v>1.0</v>
      </c>
      <c r="G8" s="5">
        <v>35.0</v>
      </c>
      <c r="H8" s="5">
        <f t="shared" si="1"/>
        <v>35</v>
      </c>
      <c r="I8" s="3" t="s">
        <v>33</v>
      </c>
    </row>
    <row r="9">
      <c r="A9" s="2">
        <v>8.0</v>
      </c>
      <c r="B9" s="3" t="s">
        <v>34</v>
      </c>
      <c r="C9" s="4" t="s">
        <v>35</v>
      </c>
      <c r="D9" s="4" t="s">
        <v>11</v>
      </c>
      <c r="E9" s="3" t="s">
        <v>23</v>
      </c>
      <c r="F9" s="2">
        <v>2.0</v>
      </c>
      <c r="G9" s="5">
        <v>5.0</v>
      </c>
      <c r="H9" s="5">
        <f t="shared" si="1"/>
        <v>10</v>
      </c>
      <c r="I9" s="3" t="s">
        <v>36</v>
      </c>
    </row>
    <row r="10">
      <c r="A10" s="2">
        <v>9.0</v>
      </c>
      <c r="B10" s="3" t="s">
        <v>37</v>
      </c>
      <c r="C10" s="4" t="s">
        <v>38</v>
      </c>
      <c r="D10" s="4" t="s">
        <v>11</v>
      </c>
      <c r="E10" s="4" t="s">
        <v>39</v>
      </c>
      <c r="F10" s="2">
        <v>1.0</v>
      </c>
      <c r="G10" s="5">
        <v>10.0</v>
      </c>
      <c r="H10" s="5">
        <f t="shared" si="1"/>
        <v>10</v>
      </c>
      <c r="I10" s="4" t="s">
        <v>40</v>
      </c>
    </row>
    <row r="11">
      <c r="A11" s="2">
        <v>10.0</v>
      </c>
      <c r="B11" s="3" t="s">
        <v>41</v>
      </c>
      <c r="C11" s="4" t="s">
        <v>42</v>
      </c>
      <c r="D11" s="4" t="s">
        <v>11</v>
      </c>
      <c r="E11" s="3" t="s">
        <v>23</v>
      </c>
      <c r="F11" s="2">
        <v>1.0</v>
      </c>
      <c r="G11" s="5">
        <v>10.0</v>
      </c>
      <c r="H11" s="5">
        <f t="shared" si="1"/>
        <v>10</v>
      </c>
      <c r="I11" s="3" t="s">
        <v>43</v>
      </c>
    </row>
    <row r="12">
      <c r="A12" s="2">
        <v>11.0</v>
      </c>
      <c r="B12" s="3" t="s">
        <v>44</v>
      </c>
      <c r="C12" s="4" t="s">
        <v>45</v>
      </c>
      <c r="D12" s="4" t="s">
        <v>11</v>
      </c>
      <c r="E12" s="3" t="s">
        <v>12</v>
      </c>
      <c r="F12" s="2">
        <v>1.0</v>
      </c>
      <c r="G12" s="5">
        <v>320.0</v>
      </c>
      <c r="H12" s="5">
        <f t="shared" si="1"/>
        <v>320</v>
      </c>
      <c r="I12" s="3" t="s">
        <v>46</v>
      </c>
    </row>
    <row r="13">
      <c r="A13" s="2">
        <v>12.0</v>
      </c>
      <c r="B13" s="3" t="s">
        <v>47</v>
      </c>
      <c r="C13" s="4" t="s">
        <v>48</v>
      </c>
      <c r="D13" s="4" t="s">
        <v>11</v>
      </c>
      <c r="E13" s="3" t="s">
        <v>12</v>
      </c>
      <c r="F13" s="2">
        <v>1.0</v>
      </c>
      <c r="G13" s="5">
        <v>5800.0</v>
      </c>
      <c r="H13" s="5">
        <f t="shared" si="1"/>
        <v>5800</v>
      </c>
      <c r="I13" s="3" t="s">
        <v>49</v>
      </c>
    </row>
    <row r="14">
      <c r="A14" s="2">
        <v>13.0</v>
      </c>
      <c r="B14" s="3" t="s">
        <v>50</v>
      </c>
      <c r="C14" s="4" t="s">
        <v>51</v>
      </c>
      <c r="D14" s="4" t="s">
        <v>11</v>
      </c>
      <c r="E14" s="3" t="s">
        <v>23</v>
      </c>
      <c r="F14" s="2">
        <v>1.0</v>
      </c>
      <c r="G14" s="5">
        <v>190.0</v>
      </c>
      <c r="H14" s="5">
        <f t="shared" si="1"/>
        <v>190</v>
      </c>
      <c r="I14" s="3" t="s">
        <v>52</v>
      </c>
    </row>
    <row r="15">
      <c r="A15" s="2">
        <v>14.0</v>
      </c>
      <c r="B15" s="3" t="s">
        <v>53</v>
      </c>
      <c r="C15" s="4" t="s">
        <v>54</v>
      </c>
      <c r="D15" s="4" t="s">
        <v>11</v>
      </c>
      <c r="E15" s="3" t="s">
        <v>23</v>
      </c>
      <c r="F15" s="2">
        <v>1.0</v>
      </c>
      <c r="G15" s="5">
        <v>65.0</v>
      </c>
      <c r="H15" s="5">
        <f t="shared" si="1"/>
        <v>65</v>
      </c>
      <c r="I15" s="3" t="s">
        <v>55</v>
      </c>
    </row>
    <row r="16">
      <c r="A16" s="2">
        <v>15.0</v>
      </c>
      <c r="B16" s="3" t="s">
        <v>56</v>
      </c>
      <c r="C16" s="4" t="s">
        <v>57</v>
      </c>
      <c r="D16" s="4" t="s">
        <v>11</v>
      </c>
      <c r="E16" s="3" t="s">
        <v>23</v>
      </c>
      <c r="F16" s="2">
        <v>3.0</v>
      </c>
      <c r="G16" s="5">
        <v>5.0</v>
      </c>
      <c r="H16" s="5">
        <f t="shared" si="1"/>
        <v>15</v>
      </c>
      <c r="I16" s="3" t="s">
        <v>58</v>
      </c>
    </row>
    <row r="17">
      <c r="A17" s="2">
        <v>16.0</v>
      </c>
      <c r="B17" s="3" t="s">
        <v>59</v>
      </c>
      <c r="C17" s="4" t="s">
        <v>60</v>
      </c>
      <c r="D17" s="4" t="s">
        <v>11</v>
      </c>
      <c r="E17" s="3" t="s">
        <v>23</v>
      </c>
      <c r="F17" s="2">
        <v>2.0</v>
      </c>
      <c r="G17" s="5">
        <v>5.0</v>
      </c>
      <c r="H17" s="5">
        <f t="shared" si="1"/>
        <v>10</v>
      </c>
      <c r="I17" s="3" t="s">
        <v>61</v>
      </c>
    </row>
    <row r="18">
      <c r="A18" s="2">
        <v>17.0</v>
      </c>
      <c r="B18" s="3" t="s">
        <v>62</v>
      </c>
      <c r="C18" s="4" t="s">
        <v>63</v>
      </c>
      <c r="D18" s="4" t="s">
        <v>64</v>
      </c>
      <c r="E18" s="3" t="s">
        <v>23</v>
      </c>
      <c r="F18" s="2">
        <v>1.0</v>
      </c>
      <c r="G18" s="5">
        <v>5.0</v>
      </c>
      <c r="H18" s="6">
        <f t="shared" si="1"/>
        <v>5</v>
      </c>
      <c r="I18" s="3" t="s">
        <v>65</v>
      </c>
    </row>
    <row r="19">
      <c r="A19" s="2">
        <v>18.0</v>
      </c>
      <c r="B19" s="3" t="s">
        <v>66</v>
      </c>
      <c r="C19" s="4" t="s">
        <v>67</v>
      </c>
      <c r="D19" s="4" t="s">
        <v>64</v>
      </c>
      <c r="E19" s="3" t="s">
        <v>12</v>
      </c>
      <c r="F19" s="2">
        <v>1.0</v>
      </c>
      <c r="G19" s="5">
        <v>240.0</v>
      </c>
      <c r="H19" s="6">
        <f t="shared" si="1"/>
        <v>240</v>
      </c>
      <c r="I19" s="3" t="s">
        <v>68</v>
      </c>
    </row>
    <row r="20">
      <c r="A20" s="2">
        <v>19.0</v>
      </c>
      <c r="B20" s="3" t="s">
        <v>69</v>
      </c>
      <c r="C20" s="4" t="s">
        <v>70</v>
      </c>
      <c r="D20" s="4" t="s">
        <v>64</v>
      </c>
      <c r="E20" s="3" t="s">
        <v>23</v>
      </c>
      <c r="F20" s="2">
        <v>1.0</v>
      </c>
      <c r="G20" s="5">
        <v>35.0</v>
      </c>
      <c r="H20" s="6">
        <f t="shared" si="1"/>
        <v>35</v>
      </c>
      <c r="I20" s="3" t="s">
        <v>71</v>
      </c>
    </row>
    <row r="21">
      <c r="A21" s="2">
        <v>20.0</v>
      </c>
      <c r="B21" s="3" t="s">
        <v>72</v>
      </c>
      <c r="C21" s="4" t="s">
        <v>73</v>
      </c>
      <c r="D21" s="4" t="s">
        <v>64</v>
      </c>
      <c r="E21" s="3" t="s">
        <v>23</v>
      </c>
      <c r="F21" s="2">
        <v>1.0</v>
      </c>
      <c r="G21" s="5">
        <v>140.0</v>
      </c>
      <c r="H21" s="6">
        <f t="shared" si="1"/>
        <v>140</v>
      </c>
      <c r="I21" s="3" t="s">
        <v>74</v>
      </c>
    </row>
    <row r="22">
      <c r="A22" s="2">
        <v>21.0</v>
      </c>
      <c r="B22" s="3" t="s">
        <v>75</v>
      </c>
      <c r="C22" s="4" t="s">
        <v>76</v>
      </c>
      <c r="D22" s="4" t="s">
        <v>64</v>
      </c>
      <c r="E22" s="3" t="s">
        <v>23</v>
      </c>
      <c r="F22" s="2">
        <v>2.0</v>
      </c>
      <c r="G22" s="5">
        <v>15.0</v>
      </c>
      <c r="H22" s="6">
        <f t="shared" si="1"/>
        <v>30</v>
      </c>
      <c r="I22" s="3" t="s">
        <v>77</v>
      </c>
    </row>
    <row r="23">
      <c r="A23" s="2">
        <v>22.0</v>
      </c>
      <c r="B23" s="3" t="s">
        <v>78</v>
      </c>
      <c r="C23" s="4" t="s">
        <v>79</v>
      </c>
      <c r="D23" s="4" t="s">
        <v>64</v>
      </c>
      <c r="E23" s="3" t="s">
        <v>23</v>
      </c>
      <c r="F23" s="2">
        <v>1.0</v>
      </c>
      <c r="G23" s="5">
        <v>10.0</v>
      </c>
      <c r="H23" s="6">
        <f t="shared" si="1"/>
        <v>10</v>
      </c>
      <c r="I23" s="3" t="s">
        <v>80</v>
      </c>
    </row>
    <row r="24">
      <c r="A24" s="2">
        <v>23.0</v>
      </c>
      <c r="B24" s="4" t="s">
        <v>81</v>
      </c>
      <c r="C24" s="4" t="s">
        <v>82</v>
      </c>
      <c r="D24" s="4" t="s">
        <v>83</v>
      </c>
      <c r="E24" s="3" t="s">
        <v>12</v>
      </c>
      <c r="F24" s="2">
        <v>1.0</v>
      </c>
      <c r="G24" s="5">
        <v>70.0</v>
      </c>
      <c r="H24" s="6">
        <f t="shared" si="1"/>
        <v>70</v>
      </c>
      <c r="I24" s="4" t="s">
        <v>84</v>
      </c>
    </row>
    <row r="25">
      <c r="A25" s="2">
        <v>24.0</v>
      </c>
      <c r="B25" s="4" t="s">
        <v>85</v>
      </c>
      <c r="C25" s="4" t="s">
        <v>82</v>
      </c>
      <c r="D25" s="4" t="s">
        <v>83</v>
      </c>
      <c r="E25" s="3" t="s">
        <v>16</v>
      </c>
      <c r="F25" s="2">
        <v>1.0</v>
      </c>
      <c r="G25" s="5">
        <v>70.0</v>
      </c>
      <c r="H25" s="6">
        <f t="shared" si="1"/>
        <v>70</v>
      </c>
      <c r="I25" s="4" t="s">
        <v>84</v>
      </c>
    </row>
    <row r="26">
      <c r="A26" s="2">
        <v>25.0</v>
      </c>
      <c r="B26" s="4" t="s">
        <v>86</v>
      </c>
      <c r="C26" s="4" t="s">
        <v>82</v>
      </c>
      <c r="D26" s="4" t="s">
        <v>83</v>
      </c>
      <c r="E26" s="3" t="s">
        <v>23</v>
      </c>
      <c r="F26" s="2">
        <v>1.0</v>
      </c>
      <c r="G26" s="5">
        <v>60.0</v>
      </c>
      <c r="H26" s="6">
        <f t="shared" si="1"/>
        <v>60</v>
      </c>
      <c r="I26" s="4" t="s">
        <v>84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51.0" customHeight="1">
      <c r="A27" s="8" t="s">
        <v>87</v>
      </c>
      <c r="B27" s="9"/>
      <c r="C27" s="9"/>
      <c r="D27" s="9"/>
      <c r="E27" s="10"/>
      <c r="F27" s="11">
        <f>SUM(H2:H26)</f>
        <v>8240</v>
      </c>
      <c r="G27" s="9"/>
      <c r="H27" s="9"/>
      <c r="I27" s="10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</sheetData>
  <mergeCells count="2">
    <mergeCell ref="A27:E27"/>
    <mergeCell ref="F27:I27"/>
  </mergeCells>
  <dataValidations>
    <dataValidation type="list" allowBlank="1" sqref="D2:D26">
      <formula1>"ضروري,تحسينات,لوجستيات"</formula1>
    </dataValidation>
  </dataValidations>
  <drawing r:id="rId1"/>
  <tableParts count="1">
    <tablePart r:id="rId3"/>
  </tableParts>
</worksheet>
</file>